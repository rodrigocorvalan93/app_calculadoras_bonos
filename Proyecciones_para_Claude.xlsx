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jdeltaassetmanagementsa.sharepoint.com/Inversiones/Documentos compartidos/Equipo RF/Varios/"/>
    </mc:Choice>
  </mc:AlternateContent>
  <xr:revisionPtr revIDLastSave="1" documentId="8_{21CB6840-8AA0-487D-88B6-84A6A671C7DF}" xr6:coauthVersionLast="47" xr6:coauthVersionMax="47" xr10:uidLastSave="{50E88FC9-9F48-48E1-B8DB-84E2001AAB74}"/>
  <bookViews>
    <workbookView xWindow="28680" yWindow="-120" windowWidth="29040" windowHeight="15720" xr2:uid="{9DBE4362-EE30-4BFE-BDF5-6A6E4CDD07A9}"/>
  </bookViews>
  <sheets>
    <sheet name="Hoj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D13" i="1"/>
  <c r="D14" i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3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</calcChain>
</file>

<file path=xl/sharedStrings.xml><?xml version="1.0" encoding="utf-8"?>
<sst xmlns="http://schemas.openxmlformats.org/spreadsheetml/2006/main" count="4" uniqueCount="4">
  <si>
    <t>Tasa de inflación (m/m)</t>
  </si>
  <si>
    <t>FX (fin de período)</t>
  </si>
  <si>
    <t>TAMAR (TNA)</t>
  </si>
  <si>
    <t>Escenario Optimista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</si>
</sst>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7" fontId="0" fillId="0" borderId="0" xfId="0" applyNumberFormat="1"/>
    <xf numFmtId="2" fontId="0" fillId="0" borderId="0" xfId="0" applyNumberFormat="1"/>
    <xf numFmtId="164" fontId="0" fillId="0" borderId="0" xfId="1" applyNumberFormat="1" applyFont="1"/>
    <xf numFmtId="0" fontId="0" fillId="0" borderId="0" xfId="0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Delta%20Bases/Macro/Argentina/Proyecciones/Argentina%20-%20IPC%20Proy.xlsx" TargetMode="External"/><Relationship Id="rId2" Type="http://schemas.openxmlformats.org/officeDocument/2006/relationships/externalLinkPath" Target="https://rjdeltaassetmanagementsa.sharepoint.com/Inversiones/Documentos%20compartidos/Delta%20Bases/Macro/Argentina/Proyecciones/Argentina%20-%20IPC%20Proy.xlsx" TargetMode="External"/><Relationship Id="rId1" Type="http://schemas.openxmlformats.org/officeDocument/2006/relationships/externalLinkPath" Target="/Inversiones/Documentos%20compartidos/Delta%20Bases/Macro/Argentina/Proyecciones/Argentina%20-%20IPC%20Pro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IQ3OXNweNEK8-BeJke5_aKoH39sATCBCgpA4LVyw342mjn_5uinVS64PNoHYcunW" itemId="01FJXFRF2P554TFQESS5H2P7SY2ETIBLRD">
      <xxl21:absoluteUrl r:id="rId2"/>
      <xxl21:relativeUrl r:id="rId3"/>
    </xxl21:alternateUrls>
    <sheetNames>
      <sheetName val="IPC"/>
      <sheetName val="Gráfico1"/>
      <sheetName val="FX vs Techo Banda"/>
      <sheetName val="TC"/>
      <sheetName val="Rofex"/>
      <sheetName val="CER index"/>
      <sheetName val="TAMAR"/>
      <sheetName val="Anual"/>
      <sheetName val="Gráfico6"/>
    </sheetNames>
    <sheetDataSet>
      <sheetData sheetId="0">
        <row r="81">
          <cell r="A81">
            <v>46053</v>
          </cell>
        </row>
        <row r="82">
          <cell r="A82">
            <v>46081</v>
          </cell>
        </row>
        <row r="83">
          <cell r="A83">
            <v>46112</v>
          </cell>
        </row>
        <row r="84">
          <cell r="A84">
            <v>46142</v>
          </cell>
        </row>
        <row r="85">
          <cell r="A85">
            <v>46173</v>
          </cell>
        </row>
        <row r="86">
          <cell r="A86">
            <v>46203</v>
          </cell>
        </row>
        <row r="87">
          <cell r="A87">
            <v>46234</v>
          </cell>
        </row>
        <row r="88">
          <cell r="A88">
            <v>46265</v>
          </cell>
        </row>
        <row r="89">
          <cell r="A89">
            <v>46295</v>
          </cell>
        </row>
        <row r="90">
          <cell r="A90">
            <v>46326</v>
          </cell>
        </row>
        <row r="91">
          <cell r="A91">
            <v>46356</v>
          </cell>
        </row>
        <row r="92">
          <cell r="A92">
            <v>46387</v>
          </cell>
        </row>
        <row r="93">
          <cell r="A93">
            <v>46418</v>
          </cell>
        </row>
        <row r="94">
          <cell r="A94">
            <v>46446</v>
          </cell>
        </row>
        <row r="95">
          <cell r="A95">
            <v>46477</v>
          </cell>
        </row>
        <row r="96">
          <cell r="A96">
            <v>46507</v>
          </cell>
        </row>
        <row r="97">
          <cell r="A97">
            <v>46538</v>
          </cell>
        </row>
        <row r="98">
          <cell r="A98">
            <v>46568</v>
          </cell>
        </row>
        <row r="99">
          <cell r="A99">
            <v>46599</v>
          </cell>
        </row>
        <row r="100">
          <cell r="A100">
            <v>46630</v>
          </cell>
        </row>
        <row r="101">
          <cell r="A101">
            <v>46660</v>
          </cell>
        </row>
        <row r="102">
          <cell r="A102">
            <v>46691</v>
          </cell>
        </row>
        <row r="103">
          <cell r="A103">
            <v>46721</v>
          </cell>
        </row>
        <row r="104">
          <cell r="A104">
            <v>46752</v>
          </cell>
        </row>
      </sheetData>
      <sheetData sheetId="3">
        <row r="79">
          <cell r="B79">
            <v>1449.7994806451611</v>
          </cell>
        </row>
        <row r="80">
          <cell r="B80">
            <v>1408.6332035714292</v>
          </cell>
        </row>
        <row r="81">
          <cell r="B81">
            <v>1436.8058676428579</v>
          </cell>
        </row>
        <row r="82">
          <cell r="B82">
            <v>1451.1739263192865</v>
          </cell>
        </row>
        <row r="83">
          <cell r="B83">
            <v>1436.6621870560937</v>
          </cell>
        </row>
        <row r="84">
          <cell r="B84">
            <v>1429.4788761208131</v>
          </cell>
        </row>
        <row r="85">
          <cell r="B85">
            <v>1465.2158480238334</v>
          </cell>
        </row>
        <row r="86">
          <cell r="B86">
            <v>1494.52016498431</v>
          </cell>
        </row>
        <row r="87">
          <cell r="B87">
            <v>1524.4105682839961</v>
          </cell>
        </row>
        <row r="88">
          <cell r="B88">
            <v>1562.5208324910959</v>
          </cell>
        </row>
        <row r="89">
          <cell r="B89">
            <v>1593.7712491409179</v>
          </cell>
        </row>
        <row r="90">
          <cell r="B90">
            <v>1609.7089616323271</v>
          </cell>
        </row>
        <row r="91">
          <cell r="B91">
            <v>1617.7575064404887</v>
          </cell>
        </row>
        <row r="92">
          <cell r="B92">
            <v>1630.6995664920125</v>
          </cell>
        </row>
        <row r="93">
          <cell r="B93">
            <v>1643.7451630239486</v>
          </cell>
        </row>
        <row r="94">
          <cell r="B94">
            <v>1648.6763985130203</v>
          </cell>
        </row>
        <row r="95">
          <cell r="B95">
            <v>1653.6224277085591</v>
          </cell>
        </row>
        <row r="96">
          <cell r="B96">
            <v>1658.5832949916846</v>
          </cell>
        </row>
        <row r="97">
          <cell r="B97">
            <v>1666.8762114666429</v>
          </cell>
        </row>
        <row r="98">
          <cell r="B98">
            <v>1671.8768401010427</v>
          </cell>
        </row>
        <row r="99">
          <cell r="B99">
            <v>1683.5799779817498</v>
          </cell>
        </row>
        <row r="100">
          <cell r="B100">
            <v>1695.365037827622</v>
          </cell>
        </row>
        <row r="101">
          <cell r="B101">
            <v>1707.2325930924153</v>
          </cell>
        </row>
        <row r="102">
          <cell r="B102">
            <v>1710.6470582786001</v>
          </cell>
        </row>
      </sheetData>
      <sheetData sheetId="4"/>
      <sheetData sheetId="5">
        <row r="74">
          <cell r="D74">
            <v>2.881619353661713E-2</v>
          </cell>
        </row>
        <row r="75">
          <cell r="D75">
            <v>2.8963190726726928E-2</v>
          </cell>
        </row>
        <row r="76">
          <cell r="D76">
            <v>3.1763191954877534E-2</v>
          </cell>
        </row>
        <row r="77">
          <cell r="D77">
            <v>2.2958612855733085E-2</v>
          </cell>
        </row>
        <row r="78">
          <cell r="D78">
            <v>1.831751132210635E-2</v>
          </cell>
        </row>
        <row r="79">
          <cell r="D79">
            <v>1.5848791804957907E-2</v>
          </cell>
        </row>
        <row r="80">
          <cell r="D80">
            <v>1.2824848495287977E-2</v>
          </cell>
        </row>
        <row r="81">
          <cell r="D81">
            <v>1.120674934812671E-2</v>
          </cell>
        </row>
        <row r="82">
          <cell r="D82">
            <v>1.3054436928391588E-2</v>
          </cell>
        </row>
        <row r="83">
          <cell r="D83">
            <v>1.3110279192837471E-2</v>
          </cell>
        </row>
        <row r="84">
          <cell r="D84">
            <v>1.1864597590544479E-2</v>
          </cell>
        </row>
        <row r="85">
          <cell r="D85">
            <v>1.3257397925655834E-2</v>
          </cell>
        </row>
        <row r="86">
          <cell r="D86">
            <v>1.0780178547959082E-2</v>
          </cell>
        </row>
        <row r="87">
          <cell r="D87">
            <v>9.9461249835713569E-3</v>
          </cell>
        </row>
        <row r="88">
          <cell r="D88">
            <v>1.1762287488499949E-2</v>
          </cell>
        </row>
        <row r="89">
          <cell r="D89">
            <v>9.1336012419499634E-3</v>
          </cell>
        </row>
        <row r="90">
          <cell r="D90">
            <v>7.2935208693649736E-3</v>
          </cell>
        </row>
        <row r="91">
          <cell r="D91">
            <v>6.0054646085554806E-3</v>
          </cell>
        </row>
        <row r="92">
          <cell r="D92">
            <v>5.7038252259888362E-3</v>
          </cell>
        </row>
        <row r="93">
          <cell r="D93">
            <v>4.8926776581921846E-3</v>
          </cell>
        </row>
        <row r="94">
          <cell r="D94">
            <v>5.524874360734529E-3</v>
          </cell>
        </row>
        <row r="95">
          <cell r="D95">
            <v>5.9674120525141702E-3</v>
          </cell>
        </row>
        <row r="96">
          <cell r="D96">
            <v>6.2771884367599194E-3</v>
          </cell>
        </row>
        <row r="97">
          <cell r="D97">
            <v>7.3940319057319431E-3</v>
          </cell>
        </row>
      </sheetData>
      <sheetData sheetId="6">
        <row r="10">
          <cell r="B10">
            <v>35</v>
          </cell>
        </row>
        <row r="11">
          <cell r="B11">
            <v>32</v>
          </cell>
        </row>
        <row r="12">
          <cell r="B12">
            <v>30</v>
          </cell>
        </row>
        <row r="13">
          <cell r="B13">
            <v>25</v>
          </cell>
        </row>
        <row r="14">
          <cell r="B14">
            <v>23</v>
          </cell>
        </row>
        <row r="15">
          <cell r="B15">
            <v>23</v>
          </cell>
        </row>
        <row r="16">
          <cell r="B16">
            <v>25</v>
          </cell>
        </row>
        <row r="17">
          <cell r="B17">
            <v>23</v>
          </cell>
        </row>
        <row r="18">
          <cell r="B18">
            <v>27</v>
          </cell>
        </row>
        <row r="19">
          <cell r="B19">
            <v>23</v>
          </cell>
        </row>
        <row r="20">
          <cell r="B20">
            <v>23</v>
          </cell>
        </row>
        <row r="21">
          <cell r="B21">
            <v>25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EC2C1-2010-432D-A6F4-D4B7812747A6}">
  <dimension ref="A1:D26"/>
  <sheetViews>
    <sheetView tabSelected="1" workbookViewId="0">
      <selection activeCell="B8" sqref="B8"/>
    </sheetView>
  </sheetViews>
  <sheetFormatPr baseColWidth="10" defaultRowHeight="15" x14ac:dyDescent="0.25"/>
  <sheetData>
    <row r="1" spans="1:4" x14ac:dyDescent="0.25">
      <c r="B1" s="4" t="s">
        <v>3</v>
      </c>
      <c r="C1" s="4"/>
      <c r="D1" s="4"/>
    </row>
    <row r="2" spans="1:4" x14ac:dyDescent="0.25">
      <c r="B2" t="s">
        <v>0</v>
      </c>
      <c r="C2" t="s">
        <v>1</v>
      </c>
      <c r="D2" t="s">
        <v>2</v>
      </c>
    </row>
    <row r="3" spans="1:4" x14ac:dyDescent="0.25">
      <c r="A3" s="1">
        <f>+[1]IPC!A81</f>
        <v>46053</v>
      </c>
      <c r="B3" s="3">
        <f>+'[1]CER index'!D74</f>
        <v>2.881619353661713E-2</v>
      </c>
      <c r="C3" s="2">
        <f>+[1]TC!B79</f>
        <v>1449.7994806451611</v>
      </c>
      <c r="D3" s="2">
        <f>+[1]TAMAR!B10</f>
        <v>35</v>
      </c>
    </row>
    <row r="4" spans="1:4" x14ac:dyDescent="0.25">
      <c r="A4" s="1">
        <f>+[1]IPC!A82</f>
        <v>46081</v>
      </c>
      <c r="B4" s="3">
        <f>+'[1]CER index'!D75</f>
        <v>2.8963190726726928E-2</v>
      </c>
      <c r="C4" s="2">
        <f>+[1]TC!B80</f>
        <v>1408.6332035714292</v>
      </c>
      <c r="D4" s="2">
        <f>+[1]TAMAR!B11</f>
        <v>32</v>
      </c>
    </row>
    <row r="5" spans="1:4" x14ac:dyDescent="0.25">
      <c r="A5" s="1">
        <f>+[1]IPC!A83</f>
        <v>46112</v>
      </c>
      <c r="B5" s="3">
        <f>+'[1]CER index'!D76</f>
        <v>3.1763191954877534E-2</v>
      </c>
      <c r="C5" s="2">
        <f>+[1]TC!B81</f>
        <v>1436.8058676428579</v>
      </c>
      <c r="D5" s="2">
        <f>+[1]TAMAR!B12</f>
        <v>30</v>
      </c>
    </row>
    <row r="6" spans="1:4" x14ac:dyDescent="0.25">
      <c r="A6" s="1">
        <f>+[1]IPC!A84</f>
        <v>46142</v>
      </c>
      <c r="B6" s="3">
        <f>+'[1]CER index'!D77</f>
        <v>2.2958612855733085E-2</v>
      </c>
      <c r="C6" s="2">
        <f>+[1]TC!B82</f>
        <v>1451.1739263192865</v>
      </c>
      <c r="D6" s="2">
        <f>+[1]TAMAR!B13</f>
        <v>25</v>
      </c>
    </row>
    <row r="7" spans="1:4" x14ac:dyDescent="0.25">
      <c r="A7" s="1">
        <f>+[1]IPC!A85</f>
        <v>46173</v>
      </c>
      <c r="B7" s="3">
        <f>+'[1]CER index'!D78</f>
        <v>1.831751132210635E-2</v>
      </c>
      <c r="C7" s="2">
        <f>+[1]TC!B83</f>
        <v>1436.6621870560937</v>
      </c>
      <c r="D7" s="2">
        <f>+[1]TAMAR!B14</f>
        <v>23</v>
      </c>
    </row>
    <row r="8" spans="1:4" x14ac:dyDescent="0.25">
      <c r="A8" s="1">
        <f>+[1]IPC!A86</f>
        <v>46203</v>
      </c>
      <c r="B8" s="3">
        <f>+'[1]CER index'!D79</f>
        <v>1.5848791804957907E-2</v>
      </c>
      <c r="C8" s="2">
        <f>+[1]TC!B84</f>
        <v>1429.4788761208131</v>
      </c>
      <c r="D8" s="2">
        <f>+[1]TAMAR!B15</f>
        <v>23</v>
      </c>
    </row>
    <row r="9" spans="1:4" x14ac:dyDescent="0.25">
      <c r="A9" s="1">
        <f>+[1]IPC!A87</f>
        <v>46234</v>
      </c>
      <c r="B9" s="3">
        <f>+'[1]CER index'!D80</f>
        <v>1.2824848495287977E-2</v>
      </c>
      <c r="C9" s="2">
        <f>+[1]TC!B85</f>
        <v>1465.2158480238334</v>
      </c>
      <c r="D9" s="2">
        <f>+[1]TAMAR!B16</f>
        <v>25</v>
      </c>
    </row>
    <row r="10" spans="1:4" x14ac:dyDescent="0.25">
      <c r="A10" s="1">
        <f>+[1]IPC!A88</f>
        <v>46265</v>
      </c>
      <c r="B10" s="3">
        <f>+'[1]CER index'!D81</f>
        <v>1.120674934812671E-2</v>
      </c>
      <c r="C10" s="2">
        <f>+[1]TC!B86</f>
        <v>1494.52016498431</v>
      </c>
      <c r="D10" s="2">
        <f>+[1]TAMAR!B17</f>
        <v>23</v>
      </c>
    </row>
    <row r="11" spans="1:4" x14ac:dyDescent="0.25">
      <c r="A11" s="1">
        <f>+[1]IPC!A89</f>
        <v>46295</v>
      </c>
      <c r="B11" s="3">
        <f>+'[1]CER index'!D82</f>
        <v>1.3054436928391588E-2</v>
      </c>
      <c r="C11" s="2">
        <f>+[1]TC!B87</f>
        <v>1524.4105682839961</v>
      </c>
      <c r="D11" s="2">
        <f>+[1]TAMAR!B18</f>
        <v>27</v>
      </c>
    </row>
    <row r="12" spans="1:4" x14ac:dyDescent="0.25">
      <c r="A12" s="1">
        <f>+[1]IPC!A90</f>
        <v>46326</v>
      </c>
      <c r="B12" s="3">
        <f>+'[1]CER index'!D83</f>
        <v>1.3110279192837471E-2</v>
      </c>
      <c r="C12" s="2">
        <f>+[1]TC!B88</f>
        <v>1562.5208324910959</v>
      </c>
      <c r="D12" s="2">
        <f>+[1]TAMAR!B19</f>
        <v>23</v>
      </c>
    </row>
    <row r="13" spans="1:4" x14ac:dyDescent="0.25">
      <c r="A13" s="1">
        <f>+[1]IPC!A91</f>
        <v>46356</v>
      </c>
      <c r="B13" s="3">
        <f>+'[1]CER index'!D84</f>
        <v>1.1864597590544479E-2</v>
      </c>
      <c r="C13" s="2">
        <f>+[1]TC!B89</f>
        <v>1593.7712491409179</v>
      </c>
      <c r="D13" s="2">
        <f>+[1]TAMAR!B20</f>
        <v>23</v>
      </c>
    </row>
    <row r="14" spans="1:4" x14ac:dyDescent="0.25">
      <c r="A14" s="1">
        <f>+[1]IPC!A92</f>
        <v>46387</v>
      </c>
      <c r="B14" s="3">
        <f>+'[1]CER index'!D85</f>
        <v>1.3257397925655834E-2</v>
      </c>
      <c r="C14" s="2">
        <f>+[1]TC!B90</f>
        <v>1609.7089616323271</v>
      </c>
      <c r="D14" s="2">
        <f>+[1]TAMAR!B21</f>
        <v>25</v>
      </c>
    </row>
    <row r="15" spans="1:4" x14ac:dyDescent="0.25">
      <c r="A15" s="1">
        <f>+[1]IPC!A93</f>
        <v>46418</v>
      </c>
      <c r="B15" s="3">
        <f>+'[1]CER index'!D86</f>
        <v>1.0780178547959082E-2</v>
      </c>
      <c r="C15" s="2">
        <f>+[1]TC!B91</f>
        <v>1617.7575064404887</v>
      </c>
      <c r="D15" s="2">
        <f>+D14</f>
        <v>25</v>
      </c>
    </row>
    <row r="16" spans="1:4" x14ac:dyDescent="0.25">
      <c r="A16" s="1">
        <f>+[1]IPC!A94</f>
        <v>46446</v>
      </c>
      <c r="B16" s="3">
        <f>+'[1]CER index'!D87</f>
        <v>9.9461249835713569E-3</v>
      </c>
      <c r="C16" s="2">
        <f>+[1]TC!B92</f>
        <v>1630.6995664920125</v>
      </c>
      <c r="D16" s="2">
        <f t="shared" ref="D16:D26" si="0">+D15</f>
        <v>25</v>
      </c>
    </row>
    <row r="17" spans="1:4" x14ac:dyDescent="0.25">
      <c r="A17" s="1">
        <f>+[1]IPC!A95</f>
        <v>46477</v>
      </c>
      <c r="B17" s="3">
        <f>+'[1]CER index'!D88</f>
        <v>1.1762287488499949E-2</v>
      </c>
      <c r="C17" s="2">
        <f>+[1]TC!B93</f>
        <v>1643.7451630239486</v>
      </c>
      <c r="D17" s="2">
        <f t="shared" si="0"/>
        <v>25</v>
      </c>
    </row>
    <row r="18" spans="1:4" x14ac:dyDescent="0.25">
      <c r="A18" s="1">
        <f>+[1]IPC!A96</f>
        <v>46507</v>
      </c>
      <c r="B18" s="3">
        <f>+'[1]CER index'!D89</f>
        <v>9.1336012419499634E-3</v>
      </c>
      <c r="C18" s="2">
        <f>+[1]TC!B94</f>
        <v>1648.6763985130203</v>
      </c>
      <c r="D18" s="2">
        <f t="shared" si="0"/>
        <v>25</v>
      </c>
    </row>
    <row r="19" spans="1:4" x14ac:dyDescent="0.25">
      <c r="A19" s="1">
        <f>+[1]IPC!A97</f>
        <v>46538</v>
      </c>
      <c r="B19" s="3">
        <f>+'[1]CER index'!D90</f>
        <v>7.2935208693649736E-3</v>
      </c>
      <c r="C19" s="2">
        <f>+[1]TC!B95</f>
        <v>1653.6224277085591</v>
      </c>
      <c r="D19" s="2">
        <f t="shared" si="0"/>
        <v>25</v>
      </c>
    </row>
    <row r="20" spans="1:4" x14ac:dyDescent="0.25">
      <c r="A20" s="1">
        <f>+[1]IPC!A98</f>
        <v>46568</v>
      </c>
      <c r="B20" s="3">
        <f>+'[1]CER index'!D91</f>
        <v>6.0054646085554806E-3</v>
      </c>
      <c r="C20" s="2">
        <f>+[1]TC!B96</f>
        <v>1658.5832949916846</v>
      </c>
      <c r="D20" s="2">
        <f t="shared" si="0"/>
        <v>25</v>
      </c>
    </row>
    <row r="21" spans="1:4" x14ac:dyDescent="0.25">
      <c r="A21" s="1">
        <f>+[1]IPC!A99</f>
        <v>46599</v>
      </c>
      <c r="B21" s="3">
        <f>+'[1]CER index'!D92</f>
        <v>5.7038252259888362E-3</v>
      </c>
      <c r="C21" s="2">
        <f>+[1]TC!B97</f>
        <v>1666.8762114666429</v>
      </c>
      <c r="D21" s="2">
        <f t="shared" si="0"/>
        <v>25</v>
      </c>
    </row>
    <row r="22" spans="1:4" x14ac:dyDescent="0.25">
      <c r="A22" s="1">
        <f>+[1]IPC!A100</f>
        <v>46630</v>
      </c>
      <c r="B22" s="3">
        <f>+'[1]CER index'!D93</f>
        <v>4.8926776581921846E-3</v>
      </c>
      <c r="C22" s="2">
        <f>+[1]TC!B98</f>
        <v>1671.8768401010427</v>
      </c>
      <c r="D22" s="2">
        <f t="shared" si="0"/>
        <v>25</v>
      </c>
    </row>
    <row r="23" spans="1:4" x14ac:dyDescent="0.25">
      <c r="A23" s="1">
        <f>+[1]IPC!A101</f>
        <v>46660</v>
      </c>
      <c r="B23" s="3">
        <f>+'[1]CER index'!D94</f>
        <v>5.524874360734529E-3</v>
      </c>
      <c r="C23" s="2">
        <f>+[1]TC!B99</f>
        <v>1683.5799779817498</v>
      </c>
      <c r="D23" s="2">
        <f t="shared" si="0"/>
        <v>25</v>
      </c>
    </row>
    <row r="24" spans="1:4" x14ac:dyDescent="0.25">
      <c r="A24" s="1">
        <f>+[1]IPC!A102</f>
        <v>46691</v>
      </c>
      <c r="B24" s="3">
        <f>+'[1]CER index'!D95</f>
        <v>5.9674120525141702E-3</v>
      </c>
      <c r="C24" s="2">
        <f>+[1]TC!B100</f>
        <v>1695.365037827622</v>
      </c>
      <c r="D24" s="2">
        <f t="shared" si="0"/>
        <v>25</v>
      </c>
    </row>
    <row r="25" spans="1:4" x14ac:dyDescent="0.25">
      <c r="A25" s="1">
        <f>+[1]IPC!A103</f>
        <v>46721</v>
      </c>
      <c r="B25" s="3">
        <f>+'[1]CER index'!D96</f>
        <v>6.2771884367599194E-3</v>
      </c>
      <c r="C25" s="2">
        <f>+[1]TC!B101</f>
        <v>1707.2325930924153</v>
      </c>
      <c r="D25" s="2">
        <f t="shared" si="0"/>
        <v>25</v>
      </c>
    </row>
    <row r="26" spans="1:4" x14ac:dyDescent="0.25">
      <c r="A26" s="1">
        <f>+[1]IPC!A104</f>
        <v>46752</v>
      </c>
      <c r="B26" s="3">
        <f>+'[1]CER index'!D97</f>
        <v>7.3940319057319431E-3</v>
      </c>
      <c r="C26" s="2">
        <f>+[1]TC!B102</f>
        <v>1710.6470582786001</v>
      </c>
      <c r="D26" s="2">
        <f t="shared" si="0"/>
        <v>25</v>
      </c>
    </row>
  </sheetData>
  <mergeCells count="1">
    <mergeCell ref="B1:D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446df9d-3c72-45ba-96aa-011474b1fab0" xsi:nil="true"/>
    <lcf76f155ced4ddcb4097134ff3c332f xmlns="f97f8ea6-29ba-4bd5-ae0f-3681d872e9d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8F6E551C290F545BD2549F4596BEAA4" ma:contentTypeVersion="15" ma:contentTypeDescription="Crear nuevo documento." ma:contentTypeScope="" ma:versionID="1a1b87aec352f9b82475d67a9f633f5a">
  <xsd:schema xmlns:xsd="http://www.w3.org/2001/XMLSchema" xmlns:xs="http://www.w3.org/2001/XMLSchema" xmlns:p="http://schemas.microsoft.com/office/2006/metadata/properties" xmlns:ns2="f97f8ea6-29ba-4bd5-ae0f-3681d872e9d6" xmlns:ns3="b446df9d-3c72-45ba-96aa-011474b1fab0" xmlns:ns4="dbdf07aa-4c00-4220-8290-382d5cb0df8d" targetNamespace="http://schemas.microsoft.com/office/2006/metadata/properties" ma:root="true" ma:fieldsID="c74dccf531df5a3422737905d8e2af15" ns2:_="" ns3:_="" ns4:_="">
    <xsd:import namespace="f97f8ea6-29ba-4bd5-ae0f-3681d872e9d6"/>
    <xsd:import namespace="b446df9d-3c72-45ba-96aa-011474b1fab0"/>
    <xsd:import namespace="dbdf07aa-4c00-4220-8290-382d5cb0df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4:SharedWithUsers" minOccurs="0"/>
                <xsd:element ref="ns4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7f8ea6-29ba-4bd5-ae0f-3681d872e9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5905a23c-960b-47b1-a690-e49dcc8eaf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46df9d-3c72-45ba-96aa-011474b1fab0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c2f0813-b655-4bc5-81ae-40f22f2d3e2e}" ma:internalName="TaxCatchAll" ma:showField="CatchAllData" ma:web="b446df9d-3c72-45ba-96aa-011474b1fa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df07aa-4c00-4220-8290-382d5cb0df8d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42EC7DA-EFF5-4851-89C6-E810AC700224}">
  <ds:schemaRefs>
    <ds:schemaRef ds:uri="http://schemas.microsoft.com/office/2006/metadata/properties"/>
    <ds:schemaRef ds:uri="http://schemas.microsoft.com/office/infopath/2007/PartnerControls"/>
    <ds:schemaRef ds:uri="b446df9d-3c72-45ba-96aa-011474b1fab0"/>
    <ds:schemaRef ds:uri="f97f8ea6-29ba-4bd5-ae0f-3681d872e9d6"/>
  </ds:schemaRefs>
</ds:datastoreItem>
</file>

<file path=customXml/itemProps2.xml><?xml version="1.0" encoding="utf-8"?>
<ds:datastoreItem xmlns:ds="http://schemas.openxmlformats.org/officeDocument/2006/customXml" ds:itemID="{CE3C02BF-C626-46C3-A007-9F083DFDB90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239C3CD-B7DE-4DF8-A90C-7F5041F0B9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7f8ea6-29ba-4bd5-ae0f-3681d872e9d6"/>
    <ds:schemaRef ds:uri="b446df9d-3c72-45ba-96aa-011474b1fab0"/>
    <ds:schemaRef ds:uri="dbdf07aa-4c00-4220-8290-382d5cb0df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Paolicchi</dc:creator>
  <cp:lastModifiedBy>Juan Paolicchi</cp:lastModifiedBy>
  <dcterms:created xsi:type="dcterms:W3CDTF">2026-03-31T19:48:58Z</dcterms:created>
  <dcterms:modified xsi:type="dcterms:W3CDTF">2026-04-01T16:05:02Z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0x01010098F6E551C290F545BD2549F4596BEAA4</vt:lpwstr>
  </property>
  <property fmtid="{D5CDD505-2E9C-101B-9397-08002B2CF9AE}" pid="3" name="MediaServiceImageTags">
    <vt:lpwstr/>
  </property>
</Properties>
</file>